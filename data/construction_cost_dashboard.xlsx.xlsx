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qs\construction-cost-dashboard\data\"/>
    </mc:Choice>
  </mc:AlternateContent>
  <xr:revisionPtr revIDLastSave="0" documentId="13_ncr:1_{D5295A69-5166-4FB3-9A46-97EF3BA7459A}" xr6:coauthVersionLast="47" xr6:coauthVersionMax="47" xr10:uidLastSave="{00000000-0000-0000-0000-000000000000}"/>
  <bookViews>
    <workbookView xWindow="-103" yWindow="-103" windowWidth="24892" windowHeight="14092" activeTab="5" xr2:uid="{00000000-000D-0000-FFFF-FFFF00000000}"/>
  </bookViews>
  <sheets>
    <sheet name="01_BoQ" sheetId="1" r:id="rId1"/>
    <sheet name="02_Monthly_Costs" sheetId="2" r:id="rId2"/>
    <sheet name="02B_Monthly_Summary" sheetId="6" r:id="rId3"/>
    <sheet name="03_Progress" sheetId="3" r:id="rId4"/>
    <sheet name="04_Project_Info" sheetId="4" r:id="rId5"/>
    <sheet name="05_EV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4" i="5"/>
  <c r="J5" i="5"/>
  <c r="J6" i="5"/>
  <c r="J7" i="5"/>
  <c r="J8" i="5"/>
  <c r="J9" i="5"/>
  <c r="J10" i="5"/>
  <c r="J11" i="5"/>
  <c r="J12" i="5"/>
  <c r="J13" i="5"/>
  <c r="J2" i="5"/>
  <c r="I2" i="5"/>
  <c r="I3" i="5"/>
  <c r="I4" i="5"/>
  <c r="I5" i="5"/>
  <c r="I6" i="5"/>
  <c r="I7" i="5"/>
  <c r="I8" i="5"/>
  <c r="I9" i="5"/>
  <c r="I10" i="5"/>
  <c r="I11" i="5"/>
  <c r="I12" i="5"/>
  <c r="I13" i="5"/>
  <c r="H2" i="5"/>
  <c r="H3" i="5"/>
  <c r="H4" i="5"/>
  <c r="H5" i="5"/>
  <c r="H6" i="5"/>
  <c r="H7" i="5"/>
  <c r="H8" i="5"/>
  <c r="H9" i="5"/>
  <c r="H10" i="5"/>
  <c r="H11" i="5"/>
  <c r="H12" i="5"/>
  <c r="H13" i="5"/>
  <c r="G2" i="5"/>
  <c r="G3" i="5"/>
  <c r="G4" i="5"/>
  <c r="G5" i="5"/>
  <c r="G6" i="5"/>
  <c r="G7" i="5"/>
  <c r="G8" i="5"/>
  <c r="G9" i="5"/>
  <c r="G10" i="5"/>
  <c r="G11" i="5"/>
  <c r="G12" i="5"/>
  <c r="G13" i="5"/>
  <c r="F3" i="5"/>
  <c r="F4" i="5"/>
  <c r="F5" i="5"/>
  <c r="F6" i="5"/>
  <c r="F7" i="5"/>
  <c r="F8" i="5"/>
  <c r="F9" i="5"/>
  <c r="F10" i="5"/>
  <c r="F11" i="5"/>
  <c r="F12" i="5"/>
  <c r="F13" i="5"/>
  <c r="F2" i="5"/>
  <c r="C4" i="6"/>
  <c r="C5" i="6"/>
  <c r="C6" i="6"/>
  <c r="C7" i="6"/>
  <c r="C8" i="6"/>
  <c r="C9" i="6"/>
  <c r="C10" i="6"/>
  <c r="C11" i="6"/>
  <c r="C12" i="6"/>
  <c r="C13" i="6"/>
  <c r="C3" i="6"/>
  <c r="C2" i="6"/>
  <c r="B2" i="6"/>
  <c r="B3" i="6"/>
  <c r="B4" i="6"/>
  <c r="B5" i="6"/>
  <c r="B6" i="6"/>
  <c r="B7" i="6"/>
  <c r="B8" i="6"/>
  <c r="B9" i="6"/>
  <c r="B10" i="6"/>
  <c r="B11" i="6"/>
  <c r="B12" i="6"/>
  <c r="B13" i="6"/>
  <c r="E2" i="5"/>
  <c r="E3" i="5"/>
  <c r="E4" i="5"/>
  <c r="E5" i="5"/>
  <c r="E6" i="5"/>
  <c r="E7" i="5"/>
  <c r="E8" i="5"/>
  <c r="E9" i="5"/>
  <c r="E10" i="5"/>
  <c r="E11" i="5"/>
  <c r="E12" i="5"/>
  <c r="E13" i="5"/>
  <c r="D2" i="5"/>
  <c r="D3" i="5"/>
  <c r="D4" i="5"/>
  <c r="D5" i="5"/>
  <c r="D6" i="5"/>
  <c r="D7" i="5"/>
  <c r="D8" i="5"/>
  <c r="D9" i="5"/>
  <c r="D10" i="5"/>
  <c r="D11" i="5"/>
  <c r="D12" i="5"/>
  <c r="D13" i="5"/>
  <c r="C2" i="5"/>
  <c r="C3" i="5"/>
  <c r="C4" i="5"/>
  <c r="C5" i="5"/>
  <c r="C6" i="5"/>
  <c r="C7" i="5"/>
  <c r="C8" i="5"/>
  <c r="C9" i="5"/>
  <c r="C10" i="5"/>
  <c r="C11" i="5"/>
  <c r="C12" i="5"/>
  <c r="C13" i="5"/>
  <c r="B2" i="5"/>
  <c r="B3" i="5"/>
  <c r="B4" i="5"/>
  <c r="B5" i="5"/>
  <c r="B6" i="5"/>
  <c r="B7" i="5"/>
  <c r="B8" i="5"/>
  <c r="B9" i="5"/>
  <c r="B10" i="5"/>
  <c r="B11" i="5"/>
  <c r="B12" i="5"/>
  <c r="B13" i="5"/>
</calcChain>
</file>

<file path=xl/sharedStrings.xml><?xml version="1.0" encoding="utf-8"?>
<sst xmlns="http://schemas.openxmlformats.org/spreadsheetml/2006/main" count="133" uniqueCount="55">
  <si>
    <t>Item_ID</t>
  </si>
  <si>
    <t>Work_Package</t>
  </si>
  <si>
    <t>Category</t>
  </si>
  <si>
    <t>Budget_GBP</t>
  </si>
  <si>
    <t>Site Preparation</t>
  </si>
  <si>
    <t>Groundworks</t>
  </si>
  <si>
    <t>Excavation</t>
  </si>
  <si>
    <t>Foundations</t>
  </si>
  <si>
    <t>Structure</t>
  </si>
  <si>
    <t>Concrete Frame</t>
  </si>
  <si>
    <t>Structural Steel</t>
  </si>
  <si>
    <t>Roof Works</t>
  </si>
  <si>
    <t>Envelope</t>
  </si>
  <si>
    <t>Curtain Wall / Cladding</t>
  </si>
  <si>
    <t>Electrical Installation</t>
  </si>
  <si>
    <t>MEP</t>
  </si>
  <si>
    <t>Mechanical / HVAC</t>
  </si>
  <si>
    <t>Plumbing &amp; Drainage</t>
  </si>
  <si>
    <t>Internal Finishes</t>
  </si>
  <si>
    <t>Finishes</t>
  </si>
  <si>
    <t>External Works &amp; Landscaping</t>
  </si>
  <si>
    <t>External</t>
  </si>
  <si>
    <t>Month</t>
  </si>
  <si>
    <t>Actual_Cost_GBP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</si>
  <si>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</si>
  <si>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</si>
  <si>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</si>
  <si>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</si>
  <si>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</si>
  <si>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</si>
  <si>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</si>
  <si>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</si>
  <si>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</si>
  <si>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</si>
  <si>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</si>
  <si>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</si>
  <si>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Planned_Progress_Pct</t>
  </si>
  <si>
    <t>Actual_Progress_Pct</t>
  </si>
  <si>
    <t>Field</t>
  </si>
  <si>
    <t>Value</t>
  </si>
  <si>
    <t>Project_Name</t>
  </si>
  <si>
    <t>City Office Block Development</t>
  </si>
  <si>
    <t>Project_Budget_GBP</t>
  </si>
  <si>
    <t>Start_Month</t>
  </si>
  <si>
    <t>End_Month</t>
  </si>
  <si>
    <t>Duration_Months</t>
  </si>
  <si>
    <t>PV_GBP</t>
  </si>
  <si>
    <t>EV_GBP</t>
  </si>
  <si>
    <t>AC_GBP</t>
  </si>
  <si>
    <t>CV_GBP</t>
  </si>
  <si>
    <t>SV_GBP</t>
  </si>
  <si>
    <t>CPI</t>
  </si>
  <si>
    <t>SPI</t>
  </si>
  <si>
    <t>Monthly_Total_GBP</t>
  </si>
  <si>
    <t>Cumulative_AC_GBP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</si>
</sst>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&quot;£&quot;#,##0.00"/>
    <numFmt numFmtId="170" formatCode="&quot;£&quot;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0" xfId="0" applyNumberFormat="1"/>
    <xf numFmtId="170" fontId="0" fillId="0" borderId="0" xfId="0" applyNumberFormat="1"/>
    <xf numFmtId="2" fontId="0" fillId="0" borderId="0" xfId="0" applyNumberFormat="1"/>
    <xf numFmtId="1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6">
    <dxf>
      <numFmt numFmtId="2" formatCode="0.00"/>
    </dxf>
    <dxf>
      <numFmt numFmtId="167" formatCode="&quot;£&quot;#,##0.00"/>
    </dxf>
    <dxf>
      <numFmt numFmtId="167" formatCode="&quot;£&quot;#,##0.00"/>
    </dxf>
    <dxf>
      <numFmt numFmtId="0" formatCode="General"/>
    </dxf>
    <dxf>
      <numFmt numFmtId="0" formatCode="General"/>
    </dxf>
    <dxf>
      <numFmt numFmtId="19" formatCode="dd/mm/yyyy"/>
    </dxf>
    <dxf>
      <numFmt numFmtId="167" formatCode="&quot;£&quot;#,##0.00"/>
    </dxf>
    <dxf>
      <numFmt numFmtId="167" formatCode="&quot;£&quot;#,##0.00"/>
    </dxf>
    <dxf>
      <numFmt numFmtId="14" formatCode="0.00%"/>
    </dxf>
    <dxf>
      <numFmt numFmtId="14" formatCode="0.00%"/>
    </dxf>
    <dxf>
      <numFmt numFmtId="19" formatCode="dd/mm/yyyy"/>
    </dxf>
    <dxf>
      <numFmt numFmtId="2" formatCode="0.00"/>
    </dxf>
    <dxf>
      <numFmt numFmtId="167" formatCode="&quot;£&quot;#,##0.00"/>
    </dxf>
    <dxf>
      <numFmt numFmtId="19" formatCode="dd/mm/yyyy"/>
    </dxf>
    <dxf>
      <numFmt numFmtId="170" formatCode="&quot;£&quot;#,##0"/>
    </dxf>
    <dxf>
      <numFmt numFmtId="170" formatCode="&quot;£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C3F10-0AEF-407A-B71B-D62A935FC0A4}" name="Table1" displayName="Table1" ref="A1:D13" totalsRowShown="0">
  <autoFilter ref="A1:D13" xr:uid="{0C6C3F10-0AEF-407A-B71B-D62A935FC0A4}"/>
  <tableColumns count="4">
    <tableColumn id="1" xr3:uid="{A54D2983-44D5-4CC4-8F53-C763ABFA2C90}" name="Item_ID"/>
    <tableColumn id="2" xr3:uid="{43E72617-AE41-4AD8-8DEC-0D0F6C63B3C6}" name="Work_Package"/>
    <tableColumn id="3" xr3:uid="{1FBF5717-4BAD-4B88-B54E-E694A0784D3D}" name="Category"/>
    <tableColumn id="4" xr3:uid="{BC438E18-83FA-4305-8A49-8F98AC445249}" name="Budget_GBP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CAA750-DD71-4F52-BB96-2081A97B6D56}" name="Table2" displayName="Table2" ref="A1:C21" totalsRowShown="0">
  <autoFilter ref="A1:C21" xr:uid="{18CAA750-DD71-4F52-BB96-2081A97B6D56}"/>
  <tableColumns count="3">
    <tableColumn id="1" xr3:uid="{2000578B-6209-4150-A755-A656196B0F48}" name="Month"/>
    <tableColumn id="2" xr3:uid="{90F3E908-129A-4239-9B48-259E1332327D}" name="Category"/>
    <tableColumn id="3" xr3:uid="{772AF29B-F73E-418D-A681-28EB4B8551FE}" name="Actual_Cost_GBP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2225C4-8FF6-49B5-AB3A-2EB457E9E866}" name="Table6" displayName="Table6" ref="A1:C13" totalsRowShown="0">
  <autoFilter ref="A1:C13" xr:uid="{E42225C4-8FF6-49B5-AB3A-2EB457E9E866}"/>
  <tableColumns count="3">
    <tableColumn id="1" xr3:uid="{1388AA3A-5BAA-4A45-9ACC-8B5D2B281B77}" name="Month" dataDxfId="5"/>
    <tableColumn id="2" xr3:uid="{2B156260-0DD9-4851-9ECA-B25D1A3EB95F}" name="Monthly_Total_GBP" dataDxfId="4">
      <calculatedColumnFormula>SUMIFS('02_Monthly_Costs'!C:C, '02_Monthly_Costs'!A:A, A2)</calculatedColumnFormula>
    </tableColumn>
    <tableColumn id="3" xr3:uid="{7A8FD010-5122-44F5-A21D-5F005DDC100E}" name="Cumulative_AC_GBP" dataDxfId="3">
      <calculatedColumnFormula>B1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3BCDD9-CDD9-4C9C-B94E-CB324866C5BA}" name="Table3" displayName="Table3" ref="A1:C13" totalsRowShown="0">
  <autoFilter ref="A1:C13" xr:uid="{E43BCDD9-CDD9-4C9C-B94E-CB324866C5BA}"/>
  <tableColumns count="3">
    <tableColumn id="1" xr3:uid="{3901290D-1847-467A-B043-6CCF42EBAF4A}" name="Month" dataDxfId="13"/>
    <tableColumn id="2" xr3:uid="{FEA6880E-02FF-4AAB-AAB0-95A267F2B868}" name="Planned_Progress_Pct"/>
    <tableColumn id="3" xr3:uid="{3684B450-3A0B-4362-BEE4-CE03E9609A99}" name="Actual_Progress_P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B0BEA2-22C4-4A68-B563-C1D1AE0B5BF3}" name="Table4" displayName="Table4" ref="A1:B6" totalsRowShown="0">
  <autoFilter ref="A1:B6" xr:uid="{85B0BEA2-22C4-4A68-B563-C1D1AE0B5BF3}"/>
  <tableColumns count="2">
    <tableColumn id="1" xr3:uid="{030DFBC1-976C-4393-B2C5-53FB80EBCFE8}" name="Field"/>
    <tableColumn id="2" xr3:uid="{184DF50D-7B30-4AA5-8B06-92523433B57B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3B767B-F2B1-4FBD-BEB7-8A6DCE7ECDDF}" name="EVM_Table" displayName="EVM_Table" ref="A1:J13" totalsRowShown="0">
  <autoFilter ref="A1:J13" xr:uid="{1E3B767B-F2B1-4FBD-BEB7-8A6DCE7ECDDF}"/>
  <tableColumns count="10">
    <tableColumn id="1" xr3:uid="{D334BF16-892B-40A6-AD22-76E25F45C9F4}" name="Month" dataDxfId="10"/>
    <tableColumn id="2" xr3:uid="{4E438E52-2DAD-4B51-87A1-4E35F4A63EB6}" name="Planned_Progress_Pct" dataDxfId="9">
      <calculatedColumnFormula>'03_Progress'!B2*0.01</calculatedColumnFormula>
    </tableColumn>
    <tableColumn id="3" xr3:uid="{6B330E2A-268A-4F93-B932-CFAD88BF7CE4}" name="Actual_Progress_Pct" dataDxfId="8">
      <calculatedColumnFormula>'03_Progress'!C2*0.01</calculatedColumnFormula>
    </tableColumn>
    <tableColumn id="4" xr3:uid="{1B182485-FC7B-45B4-8316-DF0A88E44868}" name="PV_GBP" dataDxfId="7">
      <calculatedColumnFormula>'04_Project_Info'!$B$3*EVM_Table[[#This Row],[Planned_Progress_Pct]]</calculatedColumnFormula>
    </tableColumn>
    <tableColumn id="5" xr3:uid="{B41AB69F-C8C1-4FEE-B902-920159776DD0}" name="EV_GBP" dataDxfId="6">
      <calculatedColumnFormula>'04_Project_Info'!$B$3*EVM_Table[[#This Row],[Actual_Progress_Pct]]</calculatedColumnFormula>
    </tableColumn>
    <tableColumn id="6" xr3:uid="{A56094F4-2E91-410E-A6ED-E75E4B823C94}" name="AC_GBP" dataDxfId="12">
      <calculatedColumnFormula>'02B_Monthly_Summary'!C2</calculatedColumnFormula>
    </tableColumn>
    <tableColumn id="7" xr3:uid="{7807CCDD-DE13-44B2-B542-076FBFD8AA1D}" name="CV_GBP" dataDxfId="2">
      <calculatedColumnFormula>EVM_Table[[#This Row],[EV_GBP]]-EVM_Table[[#This Row],[AC_GBP]]</calculatedColumnFormula>
    </tableColumn>
    <tableColumn id="8" xr3:uid="{B3B19D80-8CA9-4B5D-AB72-6318BCB79355}" name="SV_GBP" dataDxfId="1">
      <calculatedColumnFormula>EVM_Table[[#This Row],[EV_GBP]]-EVM_Table[[#This Row],[PV_GBP]]</calculatedColumnFormula>
    </tableColumn>
    <tableColumn id="9" xr3:uid="{9D54921C-9196-4478-AEF2-2B322EA08379}" name="CPI" dataDxfId="0">
      <calculatedColumnFormula>EVM_Table[[#This Row],[EV_GBP]]/EVM_Table[[#This Row],[AC_GBP]]</calculatedColumnFormula>
    </tableColumn>
    <tableColumn id="10" xr3:uid="{F0706BE6-520A-4731-A219-8AF3C30AAE6D}" name="SPI" dataDxfId="11">
      <calculatedColumnFormula>EVM_Table[[#This Row],[EV_GBP]]/EVM_Table[[#This Row],[PV_GBP]]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G12" sqref="G12"/>
    </sheetView>
  </sheetViews>
  <sheetFormatPr defaultRowHeight="14.6" x14ac:dyDescent="0.4"/>
  <cols>
    <col min="1" max="1" width="9.3046875" customWidth="1"/>
    <col min="2" max="2" width="25.84375" bestFit="1" customWidth="1"/>
    <col min="3" max="3" width="12" bestFit="1" customWidth="1"/>
    <col min="4" max="4" width="13.152343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 t="s">
        <v>5</v>
      </c>
      <c r="D2" s="2">
        <v>250000</v>
      </c>
    </row>
    <row r="3" spans="1:4" x14ac:dyDescent="0.4">
      <c r="A3">
        <v>2</v>
      </c>
      <c r="B3" t="s">
        <v>6</v>
      </c>
      <c r="C3" t="s">
        <v>5</v>
      </c>
      <c r="D3" s="2">
        <v>400000</v>
      </c>
    </row>
    <row r="4" spans="1:4" x14ac:dyDescent="0.4">
      <c r="A4">
        <v>3</v>
      </c>
      <c r="B4" t="s">
        <v>7</v>
      </c>
      <c r="C4" t="s">
        <v>8</v>
      </c>
      <c r="D4" s="2">
        <v>850000</v>
      </c>
    </row>
    <row r="5" spans="1:4" x14ac:dyDescent="0.4">
      <c r="A5">
        <v>4</v>
      </c>
      <c r="B5" t="s">
        <v>9</v>
      </c>
      <c r="C5" t="s">
        <v>8</v>
      </c>
      <c r="D5" s="2">
        <v>1600000</v>
      </c>
    </row>
    <row r="6" spans="1:4" x14ac:dyDescent="0.4">
      <c r="A6">
        <v>5</v>
      </c>
      <c r="B6" t="s">
        <v>10</v>
      </c>
      <c r="C6" t="s">
        <v>8</v>
      </c>
      <c r="D6" s="2">
        <v>1200000</v>
      </c>
    </row>
    <row r="7" spans="1:4" x14ac:dyDescent="0.4">
      <c r="A7">
        <v>6</v>
      </c>
      <c r="B7" t="s">
        <v>11</v>
      </c>
      <c r="C7" t="s">
        <v>12</v>
      </c>
      <c r="D7" s="2">
        <v>550000</v>
      </c>
    </row>
    <row r="8" spans="1:4" x14ac:dyDescent="0.4">
      <c r="A8">
        <v>7</v>
      </c>
      <c r="B8" t="s">
        <v>13</v>
      </c>
      <c r="C8" t="s">
        <v>12</v>
      </c>
      <c r="D8" s="2">
        <v>900000</v>
      </c>
    </row>
    <row r="9" spans="1:4" x14ac:dyDescent="0.4">
      <c r="A9">
        <v>8</v>
      </c>
      <c r="B9" t="s">
        <v>14</v>
      </c>
      <c r="C9" t="s">
        <v>15</v>
      </c>
      <c r="D9" s="2">
        <v>950000</v>
      </c>
    </row>
    <row r="10" spans="1:4" x14ac:dyDescent="0.4">
      <c r="A10">
        <v>9</v>
      </c>
      <c r="B10" t="s">
        <v>16</v>
      </c>
      <c r="C10" t="s">
        <v>15</v>
      </c>
      <c r="D10" s="2">
        <v>1100000</v>
      </c>
    </row>
    <row r="11" spans="1:4" x14ac:dyDescent="0.4">
      <c r="A11">
        <v>10</v>
      </c>
      <c r="B11" t="s">
        <v>17</v>
      </c>
      <c r="C11" t="s">
        <v>15</v>
      </c>
      <c r="D11" s="2">
        <v>500000</v>
      </c>
    </row>
    <row r="12" spans="1:4" x14ac:dyDescent="0.4">
      <c r="A12">
        <v>11</v>
      </c>
      <c r="B12" t="s">
        <v>18</v>
      </c>
      <c r="C12" t="s">
        <v>19</v>
      </c>
      <c r="D12" s="2">
        <v>800000</v>
      </c>
    </row>
    <row r="13" spans="1:4" x14ac:dyDescent="0.4">
      <c r="A13">
        <v>12</v>
      </c>
      <c r="B13" t="s">
        <v>20</v>
      </c>
      <c r="C13" t="s">
        <v>21</v>
      </c>
      <c r="D13" s="2">
        <v>400000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7D25-61BB-4AEE-817E-1E60260F3F57}">
  <dimension ref="A1:C21"/>
  <sheetViews>
    <sheetView workbookViewId="0">
      <selection activeCell="C2" sqref="C2:C21"/>
    </sheetView>
  </sheetViews>
  <sheetFormatPr defaultRowHeight="14.6" x14ac:dyDescent="0.4"/>
  <cols>
    <col min="1" max="1" width="8.3828125" customWidth="1"/>
    <col min="2" max="2" width="12" bestFit="1" customWidth="1"/>
    <col min="3" max="3" width="17.15234375" customWidth="1"/>
  </cols>
  <sheetData>
    <row r="1" spans="1:3" x14ac:dyDescent="0.4">
      <c r="A1" t="s">
        <v>22</v>
      </c>
      <c r="B1" t="s">
        <v>2</v>
      </c>
      <c r="C1" t="s">
        <v>23</v>
      </c>
    </row>
    <row r="2" spans="1:3" x14ac:dyDescent="0.4">
      <c r="A2" t="s">
        <v>24</v>
      </c>
      <c r="B2" t="s">
        <v>5</v>
      </c>
      <c r="C2" s="2">
        <v>180000</v>
      </c>
    </row>
    <row r="3" spans="1:3" x14ac:dyDescent="0.4">
      <c r="A3" t="s">
        <v>25</v>
      </c>
      <c r="B3" t="s">
        <v>5</v>
      </c>
      <c r="C3" s="2">
        <v>260000</v>
      </c>
    </row>
    <row r="4" spans="1:3" x14ac:dyDescent="0.4">
      <c r="A4" t="s">
        <v>26</v>
      </c>
      <c r="B4" t="s">
        <v>5</v>
      </c>
      <c r="C4" s="2">
        <v>210000</v>
      </c>
    </row>
    <row r="5" spans="1:3" x14ac:dyDescent="0.4">
      <c r="A5" t="s">
        <v>26</v>
      </c>
      <c r="B5" t="s">
        <v>8</v>
      </c>
      <c r="C5" s="2">
        <v>300000</v>
      </c>
    </row>
    <row r="6" spans="1:3" x14ac:dyDescent="0.4">
      <c r="A6" t="s">
        <v>27</v>
      </c>
      <c r="B6" t="s">
        <v>8</v>
      </c>
      <c r="C6" s="2">
        <v>520000</v>
      </c>
    </row>
    <row r="7" spans="1:3" x14ac:dyDescent="0.4">
      <c r="A7" t="s">
        <v>28</v>
      </c>
      <c r="B7" t="s">
        <v>8</v>
      </c>
      <c r="C7" s="2">
        <v>610000</v>
      </c>
    </row>
    <row r="8" spans="1:3" x14ac:dyDescent="0.4">
      <c r="A8" t="s">
        <v>29</v>
      </c>
      <c r="B8" t="s">
        <v>8</v>
      </c>
      <c r="C8" s="2">
        <v>700000</v>
      </c>
    </row>
    <row r="9" spans="1:3" x14ac:dyDescent="0.4">
      <c r="A9" t="s">
        <v>29</v>
      </c>
      <c r="B9" t="s">
        <v>12</v>
      </c>
      <c r="C9" s="2">
        <v>180000</v>
      </c>
    </row>
    <row r="10" spans="1:3" x14ac:dyDescent="0.4">
      <c r="A10" t="s">
        <v>30</v>
      </c>
      <c r="B10" t="s">
        <v>12</v>
      </c>
      <c r="C10" s="2">
        <v>260000</v>
      </c>
    </row>
    <row r="11" spans="1:3" x14ac:dyDescent="0.4">
      <c r="A11" t="s">
        <v>30</v>
      </c>
      <c r="B11" t="s">
        <v>15</v>
      </c>
      <c r="C11" s="2">
        <v>220000</v>
      </c>
    </row>
    <row r="12" spans="1:3" x14ac:dyDescent="0.4">
      <c r="A12" t="s">
        <v>31</v>
      </c>
      <c r="B12" t="s">
        <v>12</v>
      </c>
      <c r="C12" s="2">
        <v>240000</v>
      </c>
    </row>
    <row r="13" spans="1:3" x14ac:dyDescent="0.4">
      <c r="A13" t="s">
        <v>31</v>
      </c>
      <c r="B13" t="s">
        <v>15</v>
      </c>
      <c r="C13" s="2">
        <v>340000</v>
      </c>
    </row>
    <row r="14" spans="1:3" x14ac:dyDescent="0.4">
      <c r="A14" t="s">
        <v>32</v>
      </c>
      <c r="B14" t="s">
        <v>15</v>
      </c>
      <c r="C14" s="2">
        <v>420000</v>
      </c>
    </row>
    <row r="15" spans="1:3" x14ac:dyDescent="0.4">
      <c r="A15" t="s">
        <v>32</v>
      </c>
      <c r="B15" t="s">
        <v>19</v>
      </c>
      <c r="C15" s="2">
        <v>150000</v>
      </c>
    </row>
    <row r="16" spans="1:3" x14ac:dyDescent="0.4">
      <c r="A16" t="s">
        <v>33</v>
      </c>
      <c r="B16" t="s">
        <v>15</v>
      </c>
      <c r="C16" s="2">
        <v>380000</v>
      </c>
    </row>
    <row r="17" spans="1:3" x14ac:dyDescent="0.4">
      <c r="A17" t="s">
        <v>33</v>
      </c>
      <c r="B17" t="s">
        <v>19</v>
      </c>
      <c r="C17" s="2">
        <v>220000</v>
      </c>
    </row>
    <row r="18" spans="1:3" x14ac:dyDescent="0.4">
      <c r="A18" t="s">
        <v>34</v>
      </c>
      <c r="B18" t="s">
        <v>19</v>
      </c>
      <c r="C18" s="2">
        <v>260000</v>
      </c>
    </row>
    <row r="19" spans="1:3" x14ac:dyDescent="0.4">
      <c r="A19" t="s">
        <v>34</v>
      </c>
      <c r="B19" t="s">
        <v>21</v>
      </c>
      <c r="C19" s="2">
        <v>120000</v>
      </c>
    </row>
    <row r="20" spans="1:3" x14ac:dyDescent="0.4">
      <c r="A20" t="s">
        <v>35</v>
      </c>
      <c r="B20" t="s">
        <v>19</v>
      </c>
      <c r="C20" s="2">
        <v>180000</v>
      </c>
    </row>
    <row r="21" spans="1:3" x14ac:dyDescent="0.4">
      <c r="A21" t="s">
        <v>35</v>
      </c>
      <c r="B21" t="s">
        <v>21</v>
      </c>
      <c r="C21" s="2">
        <v>160000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FD2F-0013-49B1-9D6D-1F1AED920CD6}">
  <dimension ref="A1:C13"/>
  <sheetViews>
    <sheetView workbookViewId="0">
      <selection activeCell="C2" sqref="C2"/>
    </sheetView>
  </sheetViews>
  <sheetFormatPr defaultRowHeight="14.6" x14ac:dyDescent="0.4"/>
  <cols>
    <col min="1" max="1" width="9.23046875" style="4"/>
    <col min="2" max="2" width="19.53515625" customWidth="1"/>
    <col min="3" max="3" width="19.921875" customWidth="1"/>
  </cols>
  <sheetData>
    <row r="1" spans="1:3" x14ac:dyDescent="0.4">
      <c r="A1" s="4" t="s">
        <v>22</v>
      </c>
      <c r="B1" t="s">
        <v>53</v>
      </c>
      <c r="C1" t="s">
        <v>54</v>
      </c>
    </row>
    <row r="2" spans="1:3" x14ac:dyDescent="0.4">
      <c r="A2" s="4" t="s">
        <v>24</v>
      </c>
      <c r="B2">
        <f>SUMIFS('02_Monthly_Costs'!C:C, '02_Monthly_Costs'!A:A, A2)</f>
        <v>180000</v>
      </c>
      <c r="C2">
        <f>B2</f>
        <v>180000</v>
      </c>
    </row>
    <row r="3" spans="1:3" x14ac:dyDescent="0.4">
      <c r="A3" s="4" t="s">
        <v>25</v>
      </c>
      <c r="B3">
        <f>SUMIFS('02_Monthly_Costs'!C:C, '02_Monthly_Costs'!A:A, A3)</f>
        <v>260000</v>
      </c>
      <c r="C3">
        <f>C2+Table6[[#This Row],[Monthly_Total_GBP]]</f>
        <v>440000</v>
      </c>
    </row>
    <row r="4" spans="1:3" x14ac:dyDescent="0.4">
      <c r="A4" s="4" t="s">
        <v>26</v>
      </c>
      <c r="B4">
        <f>SUMIFS('02_Monthly_Costs'!C:C, '02_Monthly_Costs'!A:A, A4)</f>
        <v>510000</v>
      </c>
      <c r="C4">
        <f>C3+Table6[[#This Row],[Monthly_Total_GBP]]</f>
        <v>950000</v>
      </c>
    </row>
    <row r="5" spans="1:3" x14ac:dyDescent="0.4">
      <c r="A5" s="4" t="s">
        <v>27</v>
      </c>
      <c r="B5">
        <f>SUMIFS('02_Monthly_Costs'!C:C, '02_Monthly_Costs'!A:A, A5)</f>
        <v>520000</v>
      </c>
      <c r="C5">
        <f>C4+Table6[[#This Row],[Monthly_Total_GBP]]</f>
        <v>1470000</v>
      </c>
    </row>
    <row r="6" spans="1:3" x14ac:dyDescent="0.4">
      <c r="A6" s="4" t="s">
        <v>28</v>
      </c>
      <c r="B6">
        <f>SUMIFS('02_Monthly_Costs'!C:C, '02_Monthly_Costs'!A:A, A6)</f>
        <v>610000</v>
      </c>
      <c r="C6">
        <f>C5+Table6[[#This Row],[Monthly_Total_GBP]]</f>
        <v>2080000</v>
      </c>
    </row>
    <row r="7" spans="1:3" x14ac:dyDescent="0.4">
      <c r="A7" s="4" t="s">
        <v>29</v>
      </c>
      <c r="B7">
        <f>SUMIFS('02_Monthly_Costs'!C:C, '02_Monthly_Costs'!A:A, A7)</f>
        <v>880000</v>
      </c>
      <c r="C7">
        <f>C6+Table6[[#This Row],[Monthly_Total_GBP]]</f>
        <v>2960000</v>
      </c>
    </row>
    <row r="8" spans="1:3" x14ac:dyDescent="0.4">
      <c r="A8" s="4" t="s">
        <v>30</v>
      </c>
      <c r="B8">
        <f>SUMIFS('02_Monthly_Costs'!C:C, '02_Monthly_Costs'!A:A, A8)</f>
        <v>480000</v>
      </c>
      <c r="C8">
        <f>C7+Table6[[#This Row],[Monthly_Total_GBP]]</f>
        <v>3440000</v>
      </c>
    </row>
    <row r="9" spans="1:3" x14ac:dyDescent="0.4">
      <c r="A9" s="4" t="s">
        <v>31</v>
      </c>
      <c r="B9">
        <f>SUMIFS('02_Monthly_Costs'!C:C, '02_Monthly_Costs'!A:A, A9)</f>
        <v>580000</v>
      </c>
      <c r="C9">
        <f>C8+Table6[[#This Row],[Monthly_Total_GBP]]</f>
        <v>4020000</v>
      </c>
    </row>
    <row r="10" spans="1:3" x14ac:dyDescent="0.4">
      <c r="A10" s="4" t="s">
        <v>32</v>
      </c>
      <c r="B10">
        <f>SUMIFS('02_Monthly_Costs'!C:C, '02_Monthly_Costs'!A:A, A10)</f>
        <v>570000</v>
      </c>
      <c r="C10">
        <f>C9+Table6[[#This Row],[Monthly_Total_GBP]]</f>
        <v>4590000</v>
      </c>
    </row>
    <row r="11" spans="1:3" x14ac:dyDescent="0.4">
      <c r="A11" s="4" t="s">
        <v>33</v>
      </c>
      <c r="B11">
        <f>SUMIFS('02_Monthly_Costs'!C:C, '02_Monthly_Costs'!A:A, A11)</f>
        <v>600000</v>
      </c>
      <c r="C11">
        <f>C10+Table6[[#This Row],[Monthly_Total_GBP]]</f>
        <v>5190000</v>
      </c>
    </row>
    <row r="12" spans="1:3" x14ac:dyDescent="0.4">
      <c r="A12" s="4" t="s">
        <v>34</v>
      </c>
      <c r="B12">
        <f>SUMIFS('02_Monthly_Costs'!C:C, '02_Monthly_Costs'!A:A, A12)</f>
        <v>380000</v>
      </c>
      <c r="C12">
        <f>C11+Table6[[#This Row],[Monthly_Total_GBP]]</f>
        <v>5570000</v>
      </c>
    </row>
    <row r="13" spans="1:3" x14ac:dyDescent="0.4">
      <c r="A13" s="4" t="s">
        <v>35</v>
      </c>
      <c r="B13">
        <f>SUMIFS('02_Monthly_Costs'!C:C, '02_Monthly_Costs'!A:A, A13)</f>
        <v>340000</v>
      </c>
      <c r="C13">
        <f>C12+Table6[[#This Row],[Monthly_Total_GBP]]</f>
        <v>5910000</v>
      </c>
    </row>
  </sheetData>
  <phoneticPr fontId="1" type="noConversion"/>
  <pageMargins left="0.7" right="0.7" top="0.75" bottom="0.75" header="0.3" footer="0.3"/>
  <ignoredErrors>
    <ignoredError sqref="C2 C3:C1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42F7-ECD9-4F16-8DF5-192B40F4AAB0}">
  <dimension ref="A1:C13"/>
  <sheetViews>
    <sheetView workbookViewId="0">
      <selection activeCell="A12" sqref="A12"/>
    </sheetView>
  </sheetViews>
  <sheetFormatPr defaultRowHeight="14.6" x14ac:dyDescent="0.4"/>
  <cols>
    <col min="1" max="1" width="8.765625" style="4" bestFit="1" customWidth="1"/>
    <col min="2" max="2" width="21.61328125" bestFit="1" customWidth="1"/>
    <col min="3" max="3" width="20.15234375" bestFit="1" customWidth="1"/>
  </cols>
  <sheetData>
    <row r="1" spans="1:3" x14ac:dyDescent="0.4">
      <c r="A1" s="4" t="s">
        <v>22</v>
      </c>
      <c r="B1" t="s">
        <v>36</v>
      </c>
      <c r="C1" t="s">
        <v>37</v>
      </c>
    </row>
    <row r="2" spans="1:3" x14ac:dyDescent="0.4">
      <c r="A2" s="4" t="s">
        <v>24</v>
      </c>
      <c r="B2">
        <v>3</v>
      </c>
      <c r="C2">
        <v>2</v>
      </c>
    </row>
    <row r="3" spans="1:3" x14ac:dyDescent="0.4">
      <c r="A3" s="4" t="s">
        <v>25</v>
      </c>
      <c r="B3">
        <v>8</v>
      </c>
      <c r="C3">
        <v>6</v>
      </c>
    </row>
    <row r="4" spans="1:3" x14ac:dyDescent="0.4">
      <c r="A4" s="4" t="s">
        <v>26</v>
      </c>
      <c r="B4">
        <v>15</v>
      </c>
      <c r="C4">
        <v>12</v>
      </c>
    </row>
    <row r="5" spans="1:3" x14ac:dyDescent="0.4">
      <c r="A5" s="4" t="s">
        <v>27</v>
      </c>
      <c r="B5">
        <v>24</v>
      </c>
      <c r="C5">
        <v>20</v>
      </c>
    </row>
    <row r="6" spans="1:3" x14ac:dyDescent="0.4">
      <c r="A6" s="4" t="s">
        <v>28</v>
      </c>
      <c r="B6">
        <v>34</v>
      </c>
      <c r="C6">
        <v>29</v>
      </c>
    </row>
    <row r="7" spans="1:3" x14ac:dyDescent="0.4">
      <c r="A7" s="4" t="s">
        <v>29</v>
      </c>
      <c r="B7">
        <v>45</v>
      </c>
      <c r="C7">
        <v>40</v>
      </c>
    </row>
    <row r="8" spans="1:3" x14ac:dyDescent="0.4">
      <c r="A8" s="4" t="s">
        <v>30</v>
      </c>
      <c r="B8">
        <v>57</v>
      </c>
      <c r="C8">
        <v>51</v>
      </c>
    </row>
    <row r="9" spans="1:3" x14ac:dyDescent="0.4">
      <c r="A9" s="4" t="s">
        <v>31</v>
      </c>
      <c r="B9">
        <v>68</v>
      </c>
      <c r="C9">
        <v>61</v>
      </c>
    </row>
    <row r="10" spans="1:3" x14ac:dyDescent="0.4">
      <c r="A10" s="4" t="s">
        <v>32</v>
      </c>
      <c r="B10">
        <v>78</v>
      </c>
      <c r="C10">
        <v>71</v>
      </c>
    </row>
    <row r="11" spans="1:3" x14ac:dyDescent="0.4">
      <c r="A11" s="4" t="s">
        <v>33</v>
      </c>
      <c r="B11">
        <v>87</v>
      </c>
      <c r="C11">
        <v>81</v>
      </c>
    </row>
    <row r="12" spans="1:3" x14ac:dyDescent="0.4">
      <c r="A12" s="4" t="s">
        <v>34</v>
      </c>
      <c r="B12">
        <v>95</v>
      </c>
      <c r="C12">
        <v>90</v>
      </c>
    </row>
    <row r="13" spans="1:3" x14ac:dyDescent="0.4">
      <c r="A13" s="4" t="s">
        <v>35</v>
      </c>
      <c r="B13">
        <v>100</v>
      </c>
      <c r="C13">
        <v>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0952-3D23-4F95-93C1-88510E15E7C3}">
  <dimension ref="A1:B6"/>
  <sheetViews>
    <sheetView workbookViewId="0">
      <selection activeCell="B3" sqref="B3"/>
    </sheetView>
  </sheetViews>
  <sheetFormatPr defaultRowHeight="14.6" x14ac:dyDescent="0.4"/>
  <cols>
    <col min="1" max="1" width="17.921875" bestFit="1" customWidth="1"/>
    <col min="2" max="2" width="26.07421875" bestFit="1" customWidth="1"/>
  </cols>
  <sheetData>
    <row r="1" spans="1:2" x14ac:dyDescent="0.4">
      <c r="A1" t="s">
        <v>38</v>
      </c>
      <c r="B1" t="s">
        <v>39</v>
      </c>
    </row>
    <row r="2" spans="1:2" x14ac:dyDescent="0.4">
      <c r="A2" t="s">
        <v>40</v>
      </c>
      <c r="B2" t="s">
        <v>41</v>
      </c>
    </row>
    <row r="3" spans="1:2" x14ac:dyDescent="0.4">
      <c r="A3" t="s">
        <v>42</v>
      </c>
      <c r="B3">
        <v>9500000</v>
      </c>
    </row>
    <row r="4" spans="1:2" x14ac:dyDescent="0.4">
      <c r="A4" t="s">
        <v>43</v>
      </c>
      <c r="B4" t="s">
        <v>24</v>
      </c>
    </row>
    <row r="5" spans="1:2" x14ac:dyDescent="0.4">
      <c r="A5" t="s">
        <v>44</v>
      </c>
      <c r="B5" t="s">
        <v>35</v>
      </c>
    </row>
    <row r="6" spans="1:2" x14ac:dyDescent="0.4">
      <c r="A6" t="s">
        <v>45</v>
      </c>
      <c r="B6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58BF-E05B-41AD-ADEB-8D09C1882BDC}">
  <dimension ref="A1:J13"/>
  <sheetViews>
    <sheetView tabSelected="1" workbookViewId="0">
      <selection activeCell="F14" sqref="F14"/>
    </sheetView>
  </sheetViews>
  <sheetFormatPr defaultRowHeight="14.6" x14ac:dyDescent="0.4"/>
  <cols>
    <col min="1" max="1" width="8.3828125" style="4" customWidth="1"/>
    <col min="2" max="2" width="21.07421875" style="5" customWidth="1"/>
    <col min="3" max="3" width="19.61328125" style="5" customWidth="1"/>
    <col min="4" max="7" width="12.3046875" style="1" bestFit="1" customWidth="1"/>
    <col min="8" max="8" width="11.4609375" style="1" bestFit="1" customWidth="1"/>
    <col min="9" max="9" width="5.765625" style="3" bestFit="1" customWidth="1"/>
    <col min="10" max="10" width="5.61328125" style="3" bestFit="1" customWidth="1"/>
  </cols>
  <sheetData>
    <row r="1" spans="1:10" x14ac:dyDescent="0.4">
      <c r="A1" s="4" t="s">
        <v>22</v>
      </c>
      <c r="B1" s="5" t="s">
        <v>36</v>
      </c>
      <c r="C1" s="5" t="s">
        <v>37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3" t="s">
        <v>51</v>
      </c>
      <c r="J1" s="3" t="s">
        <v>52</v>
      </c>
    </row>
    <row r="2" spans="1:10" x14ac:dyDescent="0.4">
      <c r="A2" s="4" t="s">
        <v>24</v>
      </c>
      <c r="B2" s="5">
        <f>'03_Progress'!B2*0.01</f>
        <v>0.03</v>
      </c>
      <c r="C2" s="5">
        <f>'03_Progress'!C2*0.01</f>
        <v>0.02</v>
      </c>
      <c r="D2" s="1">
        <f>'04_Project_Info'!$B$3*EVM_Table[[#This Row],[Planned_Progress_Pct]]</f>
        <v>285000</v>
      </c>
      <c r="E2" s="1">
        <f>'04_Project_Info'!$B$3*EVM_Table[[#This Row],[Actual_Progress_Pct]]</f>
        <v>190000</v>
      </c>
      <c r="F2" s="1">
        <f>'02B_Monthly_Summary'!C2</f>
        <v>180000</v>
      </c>
      <c r="G2" s="1">
        <f>EVM_Table[[#This Row],[EV_GBP]]-EVM_Table[[#This Row],[AC_GBP]]</f>
        <v>10000</v>
      </c>
      <c r="H2" s="1">
        <f>EVM_Table[[#This Row],[EV_GBP]]-EVM_Table[[#This Row],[PV_GBP]]</f>
        <v>-95000</v>
      </c>
      <c r="I2" s="3">
        <f>EVM_Table[[#This Row],[EV_GBP]]/EVM_Table[[#This Row],[AC_GBP]]</f>
        <v>1.0555555555555556</v>
      </c>
      <c r="J2" s="3">
        <f>EVM_Table[[#This Row],[EV_GBP]]/EVM_Table[[#This Row],[PV_GBP]]</f>
        <v>0.66666666666666663</v>
      </c>
    </row>
    <row r="3" spans="1:10" x14ac:dyDescent="0.4">
      <c r="A3" s="4" t="s">
        <v>25</v>
      </c>
      <c r="B3" s="5">
        <f>'03_Progress'!B3*0.01</f>
        <v>0.08</v>
      </c>
      <c r="C3" s="5">
        <f>'03_Progress'!C3*0.01</f>
        <v>0.06</v>
      </c>
      <c r="D3" s="1">
        <f>'04_Project_Info'!$B$3*EVM_Table[[#This Row],[Planned_Progress_Pct]]</f>
        <v>760000</v>
      </c>
      <c r="E3" s="1">
        <f>'04_Project_Info'!$B$3*EVM_Table[[#This Row],[Actual_Progress_Pct]]</f>
        <v>570000</v>
      </c>
      <c r="F3" s="1">
        <f>'02B_Monthly_Summary'!C3</f>
        <v>440000</v>
      </c>
      <c r="G3" s="1">
        <f>EVM_Table[[#This Row],[EV_GBP]]-EVM_Table[[#This Row],[AC_GBP]]</f>
        <v>130000</v>
      </c>
      <c r="H3" s="1">
        <f>EVM_Table[[#This Row],[EV_GBP]]-EVM_Table[[#This Row],[PV_GBP]]</f>
        <v>-190000</v>
      </c>
      <c r="I3" s="3">
        <f>EVM_Table[[#This Row],[EV_GBP]]/EVM_Table[[#This Row],[AC_GBP]]</f>
        <v>1.2954545454545454</v>
      </c>
      <c r="J3" s="3">
        <f>EVM_Table[[#This Row],[EV_GBP]]/EVM_Table[[#This Row],[PV_GBP]]</f>
        <v>0.75</v>
      </c>
    </row>
    <row r="4" spans="1:10" x14ac:dyDescent="0.4">
      <c r="A4" s="4" t="s">
        <v>26</v>
      </c>
      <c r="B4" s="5">
        <f>'03_Progress'!B4*0.01</f>
        <v>0.15</v>
      </c>
      <c r="C4" s="5">
        <f>'03_Progress'!C4*0.01</f>
        <v>0.12</v>
      </c>
      <c r="D4" s="1">
        <f>'04_Project_Info'!$B$3*EVM_Table[[#This Row],[Planned_Progress_Pct]]</f>
        <v>1425000</v>
      </c>
      <c r="E4" s="1">
        <f>'04_Project_Info'!$B$3*EVM_Table[[#This Row],[Actual_Progress_Pct]]</f>
        <v>1140000</v>
      </c>
      <c r="F4" s="1">
        <f>'02B_Monthly_Summary'!C4</f>
        <v>950000</v>
      </c>
      <c r="G4" s="1">
        <f>EVM_Table[[#This Row],[EV_GBP]]-EVM_Table[[#This Row],[AC_GBP]]</f>
        <v>190000</v>
      </c>
      <c r="H4" s="1">
        <f>EVM_Table[[#This Row],[EV_GBP]]-EVM_Table[[#This Row],[PV_GBP]]</f>
        <v>-285000</v>
      </c>
      <c r="I4" s="3">
        <f>EVM_Table[[#This Row],[EV_GBP]]/EVM_Table[[#This Row],[AC_GBP]]</f>
        <v>1.2</v>
      </c>
      <c r="J4" s="3">
        <f>EVM_Table[[#This Row],[EV_GBP]]/EVM_Table[[#This Row],[PV_GBP]]</f>
        <v>0.8</v>
      </c>
    </row>
    <row r="5" spans="1:10" x14ac:dyDescent="0.4">
      <c r="A5" s="4" t="s">
        <v>27</v>
      </c>
      <c r="B5" s="5">
        <f>'03_Progress'!B5*0.01</f>
        <v>0.24</v>
      </c>
      <c r="C5" s="5">
        <f>'03_Progress'!C5*0.01</f>
        <v>0.2</v>
      </c>
      <c r="D5" s="1">
        <f>'04_Project_Info'!$B$3*EVM_Table[[#This Row],[Planned_Progress_Pct]]</f>
        <v>2280000</v>
      </c>
      <c r="E5" s="1">
        <f>'04_Project_Info'!$B$3*EVM_Table[[#This Row],[Actual_Progress_Pct]]</f>
        <v>1900000</v>
      </c>
      <c r="F5" s="1">
        <f>'02B_Monthly_Summary'!C5</f>
        <v>1470000</v>
      </c>
      <c r="G5" s="1">
        <f>EVM_Table[[#This Row],[EV_GBP]]-EVM_Table[[#This Row],[AC_GBP]]</f>
        <v>430000</v>
      </c>
      <c r="H5" s="1">
        <f>EVM_Table[[#This Row],[EV_GBP]]-EVM_Table[[#This Row],[PV_GBP]]</f>
        <v>-380000</v>
      </c>
      <c r="I5" s="3">
        <f>EVM_Table[[#This Row],[EV_GBP]]/EVM_Table[[#This Row],[AC_GBP]]</f>
        <v>1.2925170068027212</v>
      </c>
      <c r="J5" s="3">
        <f>EVM_Table[[#This Row],[EV_GBP]]/EVM_Table[[#This Row],[PV_GBP]]</f>
        <v>0.83333333333333337</v>
      </c>
    </row>
    <row r="6" spans="1:10" x14ac:dyDescent="0.4">
      <c r="A6" s="4" t="s">
        <v>28</v>
      </c>
      <c r="B6" s="5">
        <f>'03_Progress'!B6*0.01</f>
        <v>0.34</v>
      </c>
      <c r="C6" s="5">
        <f>'03_Progress'!C6*0.01</f>
        <v>0.28999999999999998</v>
      </c>
      <c r="D6" s="1">
        <f>'04_Project_Info'!$B$3*EVM_Table[[#This Row],[Planned_Progress_Pct]]</f>
        <v>3230000</v>
      </c>
      <c r="E6" s="1">
        <f>'04_Project_Info'!$B$3*EVM_Table[[#This Row],[Actual_Progress_Pct]]</f>
        <v>2755000</v>
      </c>
      <c r="F6" s="1">
        <f>'02B_Monthly_Summary'!C6</f>
        <v>2080000</v>
      </c>
      <c r="G6" s="1">
        <f>EVM_Table[[#This Row],[EV_GBP]]-EVM_Table[[#This Row],[AC_GBP]]</f>
        <v>675000</v>
      </c>
      <c r="H6" s="1">
        <f>EVM_Table[[#This Row],[EV_GBP]]-EVM_Table[[#This Row],[PV_GBP]]</f>
        <v>-475000</v>
      </c>
      <c r="I6" s="3">
        <f>EVM_Table[[#This Row],[EV_GBP]]/EVM_Table[[#This Row],[AC_GBP]]</f>
        <v>1.3245192307692308</v>
      </c>
      <c r="J6" s="3">
        <f>EVM_Table[[#This Row],[EV_GBP]]/EVM_Table[[#This Row],[PV_GBP]]</f>
        <v>0.8529411764705882</v>
      </c>
    </row>
    <row r="7" spans="1:10" x14ac:dyDescent="0.4">
      <c r="A7" s="4" t="s">
        <v>29</v>
      </c>
      <c r="B7" s="5">
        <f>'03_Progress'!B7*0.01</f>
        <v>0.45</v>
      </c>
      <c r="C7" s="5">
        <f>'03_Progress'!C7*0.01</f>
        <v>0.4</v>
      </c>
      <c r="D7" s="1">
        <f>'04_Project_Info'!$B$3*EVM_Table[[#This Row],[Planned_Progress_Pct]]</f>
        <v>4275000</v>
      </c>
      <c r="E7" s="1">
        <f>'04_Project_Info'!$B$3*EVM_Table[[#This Row],[Actual_Progress_Pct]]</f>
        <v>3800000</v>
      </c>
      <c r="F7" s="1">
        <f>'02B_Monthly_Summary'!C7</f>
        <v>2960000</v>
      </c>
      <c r="G7" s="1">
        <f>EVM_Table[[#This Row],[EV_GBP]]-EVM_Table[[#This Row],[AC_GBP]]</f>
        <v>840000</v>
      </c>
      <c r="H7" s="1">
        <f>EVM_Table[[#This Row],[EV_GBP]]-EVM_Table[[#This Row],[PV_GBP]]</f>
        <v>-475000</v>
      </c>
      <c r="I7" s="3">
        <f>EVM_Table[[#This Row],[EV_GBP]]/EVM_Table[[#This Row],[AC_GBP]]</f>
        <v>1.2837837837837838</v>
      </c>
      <c r="J7" s="3">
        <f>EVM_Table[[#This Row],[EV_GBP]]/EVM_Table[[#This Row],[PV_GBP]]</f>
        <v>0.88888888888888884</v>
      </c>
    </row>
    <row r="8" spans="1:10" x14ac:dyDescent="0.4">
      <c r="A8" s="4" t="s">
        <v>30</v>
      </c>
      <c r="B8" s="5">
        <f>'03_Progress'!B8*0.01</f>
        <v>0.57000000000000006</v>
      </c>
      <c r="C8" s="5">
        <f>'03_Progress'!C8*0.01</f>
        <v>0.51</v>
      </c>
      <c r="D8" s="1">
        <f>'04_Project_Info'!$B$3*EVM_Table[[#This Row],[Planned_Progress_Pct]]</f>
        <v>5415000.0000000009</v>
      </c>
      <c r="E8" s="1">
        <f>'04_Project_Info'!$B$3*EVM_Table[[#This Row],[Actual_Progress_Pct]]</f>
        <v>4845000</v>
      </c>
      <c r="F8" s="1">
        <f>'02B_Monthly_Summary'!C8</f>
        <v>3440000</v>
      </c>
      <c r="G8" s="1">
        <f>EVM_Table[[#This Row],[EV_GBP]]-EVM_Table[[#This Row],[AC_GBP]]</f>
        <v>1405000</v>
      </c>
      <c r="H8" s="1">
        <f>EVM_Table[[#This Row],[EV_GBP]]-EVM_Table[[#This Row],[PV_GBP]]</f>
        <v>-570000.00000000093</v>
      </c>
      <c r="I8" s="3">
        <f>EVM_Table[[#This Row],[EV_GBP]]/EVM_Table[[#This Row],[AC_GBP]]</f>
        <v>1.4084302325581395</v>
      </c>
      <c r="J8" s="3">
        <f>EVM_Table[[#This Row],[EV_GBP]]/EVM_Table[[#This Row],[PV_GBP]]</f>
        <v>0.89473684210526305</v>
      </c>
    </row>
    <row r="9" spans="1:10" x14ac:dyDescent="0.4">
      <c r="A9" s="4" t="s">
        <v>31</v>
      </c>
      <c r="B9" s="5">
        <f>'03_Progress'!B9*0.01</f>
        <v>0.68</v>
      </c>
      <c r="C9" s="5">
        <f>'03_Progress'!C9*0.01</f>
        <v>0.61</v>
      </c>
      <c r="D9" s="1">
        <f>'04_Project_Info'!$B$3*EVM_Table[[#This Row],[Planned_Progress_Pct]]</f>
        <v>6460000</v>
      </c>
      <c r="E9" s="1">
        <f>'04_Project_Info'!$B$3*EVM_Table[[#This Row],[Actual_Progress_Pct]]</f>
        <v>5795000</v>
      </c>
      <c r="F9" s="1">
        <f>'02B_Monthly_Summary'!C9</f>
        <v>4020000</v>
      </c>
      <c r="G9" s="1">
        <f>EVM_Table[[#This Row],[EV_GBP]]-EVM_Table[[#This Row],[AC_GBP]]</f>
        <v>1775000</v>
      </c>
      <c r="H9" s="1">
        <f>EVM_Table[[#This Row],[EV_GBP]]-EVM_Table[[#This Row],[PV_GBP]]</f>
        <v>-665000</v>
      </c>
      <c r="I9" s="3">
        <f>EVM_Table[[#This Row],[EV_GBP]]/EVM_Table[[#This Row],[AC_GBP]]</f>
        <v>1.441542288557214</v>
      </c>
      <c r="J9" s="3">
        <f>EVM_Table[[#This Row],[EV_GBP]]/EVM_Table[[#This Row],[PV_GBP]]</f>
        <v>0.8970588235294118</v>
      </c>
    </row>
    <row r="10" spans="1:10" x14ac:dyDescent="0.4">
      <c r="A10" s="4" t="s">
        <v>32</v>
      </c>
      <c r="B10" s="5">
        <f>'03_Progress'!B10*0.01</f>
        <v>0.78</v>
      </c>
      <c r="C10" s="5">
        <f>'03_Progress'!C10*0.01</f>
        <v>0.71</v>
      </c>
      <c r="D10" s="1">
        <f>'04_Project_Info'!$B$3*EVM_Table[[#This Row],[Planned_Progress_Pct]]</f>
        <v>7410000</v>
      </c>
      <c r="E10" s="1">
        <f>'04_Project_Info'!$B$3*EVM_Table[[#This Row],[Actual_Progress_Pct]]</f>
        <v>6745000</v>
      </c>
      <c r="F10" s="1">
        <f>'02B_Monthly_Summary'!C10</f>
        <v>4590000</v>
      </c>
      <c r="G10" s="1">
        <f>EVM_Table[[#This Row],[EV_GBP]]-EVM_Table[[#This Row],[AC_GBP]]</f>
        <v>2155000</v>
      </c>
      <c r="H10" s="1">
        <f>EVM_Table[[#This Row],[EV_GBP]]-EVM_Table[[#This Row],[PV_GBP]]</f>
        <v>-665000</v>
      </c>
      <c r="I10" s="3">
        <f>EVM_Table[[#This Row],[EV_GBP]]/EVM_Table[[#This Row],[AC_GBP]]</f>
        <v>1.4694989106753813</v>
      </c>
      <c r="J10" s="3">
        <f>EVM_Table[[#This Row],[EV_GBP]]/EVM_Table[[#This Row],[PV_GBP]]</f>
        <v>0.91025641025641024</v>
      </c>
    </row>
    <row r="11" spans="1:10" x14ac:dyDescent="0.4">
      <c r="A11" s="4" t="s">
        <v>33</v>
      </c>
      <c r="B11" s="5">
        <f>'03_Progress'!B11*0.01</f>
        <v>0.87</v>
      </c>
      <c r="C11" s="5">
        <f>'03_Progress'!C11*0.01</f>
        <v>0.81</v>
      </c>
      <c r="D11" s="1">
        <f>'04_Project_Info'!$B$3*EVM_Table[[#This Row],[Planned_Progress_Pct]]</f>
        <v>8265000</v>
      </c>
      <c r="E11" s="1">
        <f>'04_Project_Info'!$B$3*EVM_Table[[#This Row],[Actual_Progress_Pct]]</f>
        <v>7695000.0000000009</v>
      </c>
      <c r="F11" s="1">
        <f>'02B_Monthly_Summary'!C11</f>
        <v>5190000</v>
      </c>
      <c r="G11" s="1">
        <f>EVM_Table[[#This Row],[EV_GBP]]-EVM_Table[[#This Row],[AC_GBP]]</f>
        <v>2505000.0000000009</v>
      </c>
      <c r="H11" s="1">
        <f>EVM_Table[[#This Row],[EV_GBP]]-EVM_Table[[#This Row],[PV_GBP]]</f>
        <v>-569999.99999999907</v>
      </c>
      <c r="I11" s="3">
        <f>EVM_Table[[#This Row],[EV_GBP]]/EVM_Table[[#This Row],[AC_GBP]]</f>
        <v>1.4826589595375725</v>
      </c>
      <c r="J11" s="3">
        <f>EVM_Table[[#This Row],[EV_GBP]]/EVM_Table[[#This Row],[PV_GBP]]</f>
        <v>0.93103448275862077</v>
      </c>
    </row>
    <row r="12" spans="1:10" x14ac:dyDescent="0.4">
      <c r="A12" s="4" t="s">
        <v>34</v>
      </c>
      <c r="B12" s="5">
        <f>'03_Progress'!B12*0.01</f>
        <v>0.95000000000000007</v>
      </c>
      <c r="C12" s="5">
        <f>'03_Progress'!C12*0.01</f>
        <v>0.9</v>
      </c>
      <c r="D12" s="1">
        <f>'04_Project_Info'!$B$3*EVM_Table[[#This Row],[Planned_Progress_Pct]]</f>
        <v>9025000</v>
      </c>
      <c r="E12" s="1">
        <f>'04_Project_Info'!$B$3*EVM_Table[[#This Row],[Actual_Progress_Pct]]</f>
        <v>8550000</v>
      </c>
      <c r="F12" s="1">
        <f>'02B_Monthly_Summary'!C12</f>
        <v>5570000</v>
      </c>
      <c r="G12" s="1">
        <f>EVM_Table[[#This Row],[EV_GBP]]-EVM_Table[[#This Row],[AC_GBP]]</f>
        <v>2980000</v>
      </c>
      <c r="H12" s="1">
        <f>EVM_Table[[#This Row],[EV_GBP]]-EVM_Table[[#This Row],[PV_GBP]]</f>
        <v>-475000</v>
      </c>
      <c r="I12" s="3">
        <f>EVM_Table[[#This Row],[EV_GBP]]/EVM_Table[[#This Row],[AC_GBP]]</f>
        <v>1.5350089766606823</v>
      </c>
      <c r="J12" s="3">
        <f>EVM_Table[[#This Row],[EV_GBP]]/EVM_Table[[#This Row],[PV_GBP]]</f>
        <v>0.94736842105263153</v>
      </c>
    </row>
    <row r="13" spans="1:10" x14ac:dyDescent="0.4">
      <c r="A13" s="4" t="s">
        <v>35</v>
      </c>
      <c r="B13" s="5">
        <f>'03_Progress'!B13*0.01</f>
        <v>1</v>
      </c>
      <c r="C13" s="5">
        <f>'03_Progress'!C13*0.01</f>
        <v>0.96</v>
      </c>
      <c r="D13" s="1">
        <f>'04_Project_Info'!$B$3*EVM_Table[[#This Row],[Planned_Progress_Pct]]</f>
        <v>9500000</v>
      </c>
      <c r="E13" s="1">
        <f>'04_Project_Info'!$B$3*EVM_Table[[#This Row],[Actual_Progress_Pct]]</f>
        <v>9120000</v>
      </c>
      <c r="F13" s="1">
        <f>'02B_Monthly_Summary'!C13</f>
        <v>5910000</v>
      </c>
      <c r="G13" s="1">
        <f>EVM_Table[[#This Row],[EV_GBP]]-EVM_Table[[#This Row],[AC_GBP]]</f>
        <v>3210000</v>
      </c>
      <c r="H13" s="1">
        <f>EVM_Table[[#This Row],[EV_GBP]]-EVM_Table[[#This Row],[PV_GBP]]</f>
        <v>-380000</v>
      </c>
      <c r="I13" s="3">
        <f>EVM_Table[[#This Row],[EV_GBP]]/EVM_Table[[#This Row],[AC_GBP]]</f>
        <v>1.5431472081218274</v>
      </c>
      <c r="J13" s="3">
        <f>EVM_Table[[#This Row],[EV_GBP]]/EVM_Table[[#This Row],[PV_GBP]]</f>
        <v>0.96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01_BoQ</vt:lpstr>
      <vt:lpstr>02_Monthly_Costs</vt:lpstr>
      <vt:lpstr>02B_Monthly_Summary</vt:lpstr>
      <vt:lpstr>03_Progress</vt:lpstr>
      <vt:lpstr>04_Project_Info</vt:lpstr>
      <vt:lpstr>05_EVM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Tonmoy</dc:creator>
  <cp:lastModifiedBy>R Tonmoy</cp:lastModifiedBy>
  <dcterms:created xsi:type="dcterms:W3CDTF">2015-06-05T18:17:20Z</dcterms:created>
  <dcterms:modified xsi:type="dcterms:W3CDTF">2026-04-10T12:59:16Z</dcterms:modified>
</cp:coreProperties>
</file>